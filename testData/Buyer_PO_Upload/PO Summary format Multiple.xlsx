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perfectbss-my.sharepoint.com/personal/thilina_perfectbss_com/Documents/Desktop/Apperal_Module/testData/Buyer_PO_Upload/"/>
    </mc:Choice>
  </mc:AlternateContent>
  <xr:revisionPtr revIDLastSave="4" documentId="13_ncr:1_{E6678707-3F02-4D50-8195-50476E59766C}" xr6:coauthVersionLast="47" xr6:coauthVersionMax="47" xr10:uidLastSave="{DB052558-F5C2-498E-9026-171BFB75F13D}"/>
  <bookViews>
    <workbookView xWindow="-120" yWindow="-120" windowWidth="20730" windowHeight="11160" xr2:uid="{00000000-000D-0000-FFFF-FFFF00000000}"/>
  </bookViews>
  <sheets>
    <sheet name="Example George" sheetId="2" r:id="rId1"/>
    <sheet name="Example M&amp;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2" l="1"/>
  <c r="O14" i="2"/>
  <c r="N14" i="2"/>
  <c r="M14" i="2"/>
  <c r="L14" i="2"/>
  <c r="F14" i="2"/>
  <c r="E14" i="2"/>
  <c r="D14" i="2"/>
  <c r="P13" i="2"/>
  <c r="O13" i="2"/>
  <c r="N13" i="2"/>
  <c r="M13" i="2"/>
  <c r="L13" i="2"/>
  <c r="D12" i="2"/>
  <c r="K15" i="2"/>
  <c r="K16" i="2" s="1"/>
  <c r="D18" i="3"/>
  <c r="L27" i="3"/>
  <c r="K27" i="3"/>
  <c r="J27" i="3"/>
  <c r="I27" i="3"/>
  <c r="H27" i="3"/>
  <c r="G27" i="3"/>
  <c r="F27" i="3"/>
  <c r="E27" i="3"/>
  <c r="D27" i="3"/>
  <c r="Q26" i="3"/>
  <c r="Q27" i="3" s="1"/>
  <c r="P26" i="3"/>
  <c r="P27" i="3" s="1"/>
  <c r="O26" i="3"/>
  <c r="O27" i="3" s="1"/>
  <c r="N26" i="3"/>
  <c r="N27" i="3" s="1"/>
  <c r="M26" i="3"/>
  <c r="M27" i="3" s="1"/>
  <c r="L24" i="3"/>
  <c r="K24" i="3"/>
  <c r="J24" i="3"/>
  <c r="I24" i="3"/>
  <c r="H24" i="3"/>
  <c r="G24" i="3"/>
  <c r="F24" i="3"/>
  <c r="E24" i="3"/>
  <c r="D24" i="3"/>
  <c r="Q23" i="3"/>
  <c r="Q24" i="3" s="1"/>
  <c r="P23" i="3"/>
  <c r="P24" i="3" s="1"/>
  <c r="O23" i="3"/>
  <c r="O24" i="3" s="1"/>
  <c r="N23" i="3"/>
  <c r="N24" i="3" s="1"/>
  <c r="M23" i="3"/>
  <c r="M24" i="3" s="1"/>
  <c r="L21" i="3"/>
  <c r="K21" i="3"/>
  <c r="J21" i="3"/>
  <c r="I21" i="3"/>
  <c r="H21" i="3"/>
  <c r="G21" i="3"/>
  <c r="F21" i="3"/>
  <c r="E21" i="3"/>
  <c r="D21" i="3"/>
  <c r="Q20" i="3"/>
  <c r="Q21" i="3" s="1"/>
  <c r="P20" i="3"/>
  <c r="P21" i="3" s="1"/>
  <c r="O20" i="3"/>
  <c r="O21" i="3" s="1"/>
  <c r="N20" i="3"/>
  <c r="N21" i="3" s="1"/>
  <c r="M20" i="3"/>
  <c r="M21" i="3" s="1"/>
  <c r="P18" i="3"/>
  <c r="L18" i="3"/>
  <c r="K18" i="3"/>
  <c r="K31" i="3" s="1"/>
  <c r="J18" i="3"/>
  <c r="I18" i="3"/>
  <c r="I31" i="3" s="1"/>
  <c r="H18" i="3"/>
  <c r="G18" i="3"/>
  <c r="F18" i="3"/>
  <c r="E18" i="3"/>
  <c r="E31" i="3" s="1"/>
  <c r="Q17" i="3"/>
  <c r="Q18" i="3" s="1"/>
  <c r="P17" i="3"/>
  <c r="O17" i="3"/>
  <c r="O18" i="3" s="1"/>
  <c r="N17" i="3"/>
  <c r="M17" i="3"/>
  <c r="M18" i="3" s="1"/>
  <c r="Q10" i="3"/>
  <c r="P10" i="3"/>
  <c r="O10" i="3"/>
  <c r="N10" i="3"/>
  <c r="M10" i="3"/>
  <c r="M29" i="3" s="1"/>
  <c r="M30" i="3" s="1"/>
  <c r="L10" i="3"/>
  <c r="L29" i="3" s="1"/>
  <c r="L30" i="3" s="1"/>
  <c r="K10" i="3"/>
  <c r="K29" i="3" s="1"/>
  <c r="K30" i="3" s="1"/>
  <c r="J10" i="3"/>
  <c r="J29" i="3" s="1"/>
  <c r="J30" i="3" s="1"/>
  <c r="I10" i="3"/>
  <c r="I29" i="3" s="1"/>
  <c r="I30" i="3" s="1"/>
  <c r="H10" i="3"/>
  <c r="H29" i="3" s="1"/>
  <c r="H30" i="3" s="1"/>
  <c r="G10" i="3"/>
  <c r="G29" i="3" s="1"/>
  <c r="G30" i="3" s="1"/>
  <c r="F10" i="3"/>
  <c r="F29" i="3" s="1"/>
  <c r="F30" i="3" s="1"/>
  <c r="E10" i="3"/>
  <c r="E29" i="3" s="1"/>
  <c r="E30" i="3" s="1"/>
  <c r="D10" i="3"/>
  <c r="D29" i="3" s="1"/>
  <c r="E15" i="2"/>
  <c r="E16" i="2" s="1"/>
  <c r="H15" i="2"/>
  <c r="H16" i="2" s="1"/>
  <c r="F15" i="2"/>
  <c r="F16" i="2" s="1"/>
  <c r="G15" i="2"/>
  <c r="G16" i="2" s="1"/>
  <c r="I15" i="2"/>
  <c r="I16" i="2" s="1"/>
  <c r="J15" i="2"/>
  <c r="J16" i="2" s="1"/>
  <c r="E12" i="2"/>
  <c r="P11" i="2"/>
  <c r="P12" i="2" s="1"/>
  <c r="O11" i="2"/>
  <c r="O12" i="2" s="1"/>
  <c r="N11" i="2"/>
  <c r="N12" i="2" s="1"/>
  <c r="M11" i="2"/>
  <c r="M12" i="2" s="1"/>
  <c r="L11" i="2"/>
  <c r="L12" i="2" s="1"/>
  <c r="F12" i="2"/>
  <c r="Q14" i="2" l="1"/>
  <c r="Q13" i="2"/>
  <c r="P29" i="3"/>
  <c r="P30" i="3" s="1"/>
  <c r="F31" i="3"/>
  <c r="J31" i="3"/>
  <c r="D31" i="3"/>
  <c r="H31" i="3"/>
  <c r="L31" i="3"/>
  <c r="Q11" i="2"/>
  <c r="D17" i="2"/>
  <c r="D15" i="2"/>
  <c r="D16" i="2" s="1"/>
  <c r="P15" i="2"/>
  <c r="P16" i="2" s="1"/>
  <c r="N15" i="2"/>
  <c r="N16" i="2" s="1"/>
  <c r="M15" i="2"/>
  <c r="M16" i="2" s="1"/>
  <c r="O15" i="2"/>
  <c r="O16" i="2" s="1"/>
  <c r="N29" i="3"/>
  <c r="N30" i="3" s="1"/>
  <c r="O29" i="3"/>
  <c r="O30" i="3" s="1"/>
  <c r="J17" i="2"/>
  <c r="L15" i="2"/>
  <c r="L16" i="2" s="1"/>
  <c r="Q29" i="3"/>
  <c r="Q30" i="3" s="1"/>
  <c r="R26" i="3"/>
  <c r="R17" i="3"/>
  <c r="N17" i="2"/>
  <c r="O31" i="3"/>
  <c r="P31" i="3"/>
  <c r="G31" i="3"/>
  <c r="M31" i="3"/>
  <c r="R27" i="3"/>
  <c r="D30" i="3"/>
  <c r="R21" i="3"/>
  <c r="Q31" i="3"/>
  <c r="R24" i="3"/>
  <c r="R12" i="3"/>
  <c r="R32" i="3" s="1"/>
  <c r="N18" i="3"/>
  <c r="N31" i="3" s="1"/>
  <c r="R20" i="3"/>
  <c r="R23" i="3"/>
  <c r="Q18" i="2"/>
  <c r="G17" i="2"/>
  <c r="O17" i="2"/>
  <c r="L17" i="2"/>
  <c r="K17" i="2"/>
  <c r="H17" i="2"/>
  <c r="F17" i="2"/>
  <c r="I17" i="2"/>
  <c r="M17" i="2"/>
  <c r="P17" i="2"/>
  <c r="Q12" i="2"/>
  <c r="E17" i="2"/>
  <c r="R31" i="3" l="1"/>
  <c r="R33" i="3" s="1"/>
  <c r="R29" i="3"/>
  <c r="R30" i="3"/>
  <c r="R18" i="3"/>
  <c r="Q17" i="2"/>
  <c r="Q19" i="2" s="1"/>
  <c r="Q15" i="2"/>
  <c r="Q16" i="2"/>
</calcChain>
</file>

<file path=xl/sharedStrings.xml><?xml version="1.0" encoding="utf-8"?>
<sst xmlns="http://schemas.openxmlformats.org/spreadsheetml/2006/main" count="101" uniqueCount="54">
  <si>
    <t xml:space="preserve">Buyer </t>
  </si>
  <si>
    <t>Style No</t>
  </si>
  <si>
    <t>Style Description</t>
  </si>
  <si>
    <t>Style Color</t>
  </si>
  <si>
    <t>:</t>
  </si>
  <si>
    <t>PO No</t>
  </si>
  <si>
    <t>Country Code</t>
  </si>
  <si>
    <t>Size</t>
  </si>
  <si>
    <t>Ratio Delivery</t>
  </si>
  <si>
    <t>Ratio</t>
  </si>
  <si>
    <t>Total Qty</t>
  </si>
  <si>
    <t>Qty</t>
  </si>
  <si>
    <t>Carton Qty</t>
  </si>
  <si>
    <t>VCP</t>
  </si>
  <si>
    <t>Solid Delivery</t>
  </si>
  <si>
    <t>Size VCP</t>
  </si>
  <si>
    <t>Total Oder Qty [Pcs]</t>
  </si>
  <si>
    <t>Pcs Qty</t>
  </si>
  <si>
    <t>Total Oder Qty [Pks]</t>
  </si>
  <si>
    <t>Total Carton Solid</t>
  </si>
  <si>
    <t>Total Carton Ratio</t>
  </si>
  <si>
    <t>Total Carton</t>
  </si>
  <si>
    <t>Season</t>
  </si>
  <si>
    <t>BLUE</t>
  </si>
  <si>
    <t>UK</t>
  </si>
  <si>
    <t>SS25LSW01</t>
  </si>
  <si>
    <t>3Pk Farmyard Sleepsuits</t>
  </si>
  <si>
    <t>Multi</t>
  </si>
  <si>
    <t>SS25</t>
  </si>
  <si>
    <t>Mamas &amp; Papas</t>
  </si>
  <si>
    <t>-</t>
  </si>
  <si>
    <t xml:space="preserve">M1 </t>
  </si>
  <si>
    <t>T1</t>
  </si>
  <si>
    <t>China</t>
  </si>
  <si>
    <t>D1</t>
  </si>
  <si>
    <t>UAE</t>
  </si>
  <si>
    <t>KSA</t>
  </si>
  <si>
    <t>Tiny baby</t>
  </si>
  <si>
    <t>New Born</t>
  </si>
  <si>
    <t>Up To 1 Month</t>
  </si>
  <si>
    <t>0-3 Months</t>
  </si>
  <si>
    <t>3-6 Months</t>
  </si>
  <si>
    <t>6-9 Months</t>
  </si>
  <si>
    <t>9-12 Months</t>
  </si>
  <si>
    <t>12-18 Months</t>
  </si>
  <si>
    <t>18-24 Months</t>
  </si>
  <si>
    <t>S</t>
  </si>
  <si>
    <t>M</t>
  </si>
  <si>
    <t>L</t>
  </si>
  <si>
    <t>Season 001</t>
  </si>
  <si>
    <t>PUR00020</t>
  </si>
  <si>
    <t>0003 - BES1_STY11</t>
  </si>
  <si>
    <t>PUR00021</t>
  </si>
  <si>
    <t>George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</si>
</sst>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0" xfId="0" quotePrefix="1"/>
    <xf numFmtId="0" fontId="2" fillId="5" borderId="1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2" borderId="1" xfId="0" applyFont="1" applyFill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" fontId="0" fillId="4" borderId="1" xfId="0" applyNumberFormat="1" applyFill="1" applyBorder="1"/>
    <xf numFmtId="1" fontId="1" fillId="4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5BAD-508F-4F28-8ED9-967F7E7E1626}">
  <dimension ref="A1:Q19"/>
  <sheetViews>
    <sheetView tabSelected="1" workbookViewId="0">
      <selection activeCell="F5" sqref="F5"/>
    </sheetView>
  </sheetViews>
  <sheetFormatPr defaultRowHeight="15" x14ac:dyDescent="0.25"/>
  <cols>
    <col min="1" max="1" width="21.5703125" customWidth="1"/>
    <col min="2" max="2" width="13.140625" bestFit="1" customWidth="1"/>
    <col min="17" max="17" width="10.7109375" customWidth="1"/>
  </cols>
  <sheetData>
    <row r="1" spans="1:17" x14ac:dyDescent="0.25">
      <c r="A1" t="s">
        <v>0</v>
      </c>
      <c r="B1" t="s">
        <v>4</v>
      </c>
      <c r="C1" t="s">
        <v>53</v>
      </c>
    </row>
    <row r="2" spans="1:17" x14ac:dyDescent="0.25">
      <c r="A2" t="s">
        <v>1</v>
      </c>
      <c r="B2" t="s">
        <v>4</v>
      </c>
      <c r="C2" s="17" t="s">
        <v>51</v>
      </c>
    </row>
    <row r="3" spans="1:17" x14ac:dyDescent="0.25">
      <c r="A3" t="s">
        <v>2</v>
      </c>
      <c r="B3" t="s">
        <v>4</v>
      </c>
      <c r="C3" t="s">
        <v>2</v>
      </c>
    </row>
    <row r="4" spans="1:17" x14ac:dyDescent="0.25">
      <c r="A4" t="s">
        <v>3</v>
      </c>
      <c r="B4" t="s">
        <v>4</v>
      </c>
      <c r="C4" t="s">
        <v>23</v>
      </c>
    </row>
    <row r="5" spans="1:17" x14ac:dyDescent="0.25">
      <c r="A5" t="s">
        <v>22</v>
      </c>
      <c r="B5" t="s">
        <v>4</v>
      </c>
      <c r="C5" t="s">
        <v>49</v>
      </c>
    </row>
    <row r="8" spans="1:17" x14ac:dyDescent="0.25">
      <c r="A8" s="30" t="s">
        <v>14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4" t="s">
        <v>10</v>
      </c>
    </row>
    <row r="9" spans="1:17" x14ac:dyDescent="0.25">
      <c r="A9" s="28" t="s">
        <v>5</v>
      </c>
      <c r="B9" s="28" t="s">
        <v>6</v>
      </c>
      <c r="C9" s="3" t="s">
        <v>15</v>
      </c>
      <c r="D9" s="3">
        <v>27</v>
      </c>
      <c r="E9" s="3">
        <v>27</v>
      </c>
      <c r="F9" s="3">
        <v>27</v>
      </c>
      <c r="G9" s="3">
        <v>24</v>
      </c>
      <c r="H9" s="3">
        <v>21</v>
      </c>
      <c r="I9" s="3">
        <v>21</v>
      </c>
      <c r="J9" s="3">
        <v>21</v>
      </c>
      <c r="K9" s="3">
        <v>20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4"/>
    </row>
    <row r="10" spans="1:17" x14ac:dyDescent="0.25">
      <c r="A10" s="28"/>
      <c r="B10" s="28"/>
      <c r="C10" s="3" t="s">
        <v>7</v>
      </c>
      <c r="D10" s="18" t="s">
        <v>46</v>
      </c>
      <c r="E10" s="18" t="s">
        <v>47</v>
      </c>
      <c r="F10" s="19" t="s">
        <v>48</v>
      </c>
      <c r="G10" s="19"/>
      <c r="H10" s="19"/>
      <c r="I10" s="19"/>
      <c r="J10" s="19"/>
      <c r="K10" s="19"/>
      <c r="L10" s="2"/>
      <c r="M10" s="2"/>
      <c r="N10" s="2"/>
      <c r="O10" s="2"/>
      <c r="P10" s="2"/>
      <c r="Q10" s="4"/>
    </row>
    <row r="11" spans="1:17" s="11" customFormat="1" x14ac:dyDescent="0.25">
      <c r="A11" s="8" t="s">
        <v>50</v>
      </c>
      <c r="B11" s="8" t="s">
        <v>24</v>
      </c>
      <c r="C11" s="9" t="s">
        <v>11</v>
      </c>
      <c r="D11" s="8">
        <v>40</v>
      </c>
      <c r="E11" s="8">
        <v>20</v>
      </c>
      <c r="F11" s="8">
        <v>30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f t="shared" ref="L11:P11" si="0">0*L10</f>
        <v>0</v>
      </c>
      <c r="M11" s="8">
        <f t="shared" si="0"/>
        <v>0</v>
      </c>
      <c r="N11" s="8">
        <f t="shared" si="0"/>
        <v>0</v>
      </c>
      <c r="O11" s="8">
        <f t="shared" si="0"/>
        <v>0</v>
      </c>
      <c r="P11" s="8">
        <f t="shared" si="0"/>
        <v>0</v>
      </c>
      <c r="Q11" s="10">
        <f>SUM(D11:O11)</f>
        <v>90</v>
      </c>
    </row>
    <row r="12" spans="1:17" s="11" customFormat="1" x14ac:dyDescent="0.25">
      <c r="A12" s="12" t="s">
        <v>12</v>
      </c>
      <c r="B12" s="12"/>
      <c r="C12" s="12"/>
      <c r="D12" s="12">
        <f>+D11/D9</f>
        <v>1.4814814814814814</v>
      </c>
      <c r="E12" s="12">
        <f t="shared" ref="E12:P12" si="1">+E11/E9</f>
        <v>0.7407407407407407</v>
      </c>
      <c r="F12" s="12">
        <f t="shared" si="1"/>
        <v>1.1111111111111112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f t="shared" si="1"/>
        <v>0</v>
      </c>
      <c r="M12" s="12">
        <f t="shared" si="1"/>
        <v>0</v>
      </c>
      <c r="N12" s="12">
        <f t="shared" si="1"/>
        <v>0</v>
      </c>
      <c r="O12" s="12">
        <f t="shared" si="1"/>
        <v>0</v>
      </c>
      <c r="P12" s="12">
        <f t="shared" si="1"/>
        <v>0</v>
      </c>
      <c r="Q12" s="10">
        <f>SUM(D12:P12)</f>
        <v>3.3333333333333335</v>
      </c>
    </row>
    <row r="13" spans="1:17" s="11" customFormat="1" x14ac:dyDescent="0.25">
      <c r="A13" s="8" t="s">
        <v>52</v>
      </c>
      <c r="B13" s="8" t="s">
        <v>24</v>
      </c>
      <c r="C13" s="9" t="s">
        <v>11</v>
      </c>
      <c r="D13" s="8">
        <v>50</v>
      </c>
      <c r="E13" s="8">
        <v>100</v>
      </c>
      <c r="F13" s="8">
        <v>100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f t="shared" ref="L13:P14" si="2">0*L12</f>
        <v>0</v>
      </c>
      <c r="M13" s="8">
        <f t="shared" si="2"/>
        <v>0</v>
      </c>
      <c r="N13" s="8">
        <f t="shared" si="2"/>
        <v>0</v>
      </c>
      <c r="O13" s="8">
        <f t="shared" si="2"/>
        <v>0</v>
      </c>
      <c r="P13" s="8">
        <f t="shared" si="2"/>
        <v>0</v>
      </c>
      <c r="Q13" s="10">
        <f>SUM(D13:O13)</f>
        <v>250</v>
      </c>
    </row>
    <row r="14" spans="1:17" s="11" customFormat="1" x14ac:dyDescent="0.25">
      <c r="A14" s="12" t="s">
        <v>12</v>
      </c>
      <c r="B14" s="12"/>
      <c r="C14" s="12"/>
      <c r="D14" s="12">
        <f>+D13/D11</f>
        <v>1.25</v>
      </c>
      <c r="E14" s="12">
        <f t="shared" ref="E14:F14" si="3">+E13/E11</f>
        <v>5</v>
      </c>
      <c r="F14" s="12">
        <f t="shared" si="3"/>
        <v>3.3333333333333335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8">
        <f t="shared" si="2"/>
        <v>0</v>
      </c>
      <c r="M14" s="8">
        <f t="shared" si="2"/>
        <v>0</v>
      </c>
      <c r="N14" s="8">
        <f t="shared" si="2"/>
        <v>0</v>
      </c>
      <c r="O14" s="8">
        <f t="shared" si="2"/>
        <v>0</v>
      </c>
      <c r="P14" s="8">
        <f t="shared" si="2"/>
        <v>0</v>
      </c>
      <c r="Q14" s="10">
        <f>SUM(D14:P14)</f>
        <v>9.5833333333333339</v>
      </c>
    </row>
    <row r="15" spans="1:17" x14ac:dyDescent="0.25">
      <c r="A15" s="21" t="s">
        <v>18</v>
      </c>
      <c r="B15" s="14"/>
      <c r="C15" s="14"/>
      <c r="D15" s="14" t="e">
        <f>+#REF!+D11+#REF!+#REF!+#REF!</f>
        <v>#REF!</v>
      </c>
      <c r="E15" s="14" t="e">
        <f>+#REF!+E11+#REF!+#REF!+#REF!</f>
        <v>#REF!</v>
      </c>
      <c r="F15" s="14" t="e">
        <f>+#REF!+F11+#REF!+#REF!+#REF!</f>
        <v>#REF!</v>
      </c>
      <c r="G15" s="14" t="e">
        <f>+#REF!+G11+#REF!+#REF!+#REF!</f>
        <v>#REF!</v>
      </c>
      <c r="H15" s="14" t="e">
        <f>+#REF!+H11+#REF!+#REF!+#REF!</f>
        <v>#REF!</v>
      </c>
      <c r="I15" s="14" t="e">
        <f>+#REF!+I11+#REF!+#REF!+#REF!</f>
        <v>#REF!</v>
      </c>
      <c r="J15" s="14" t="e">
        <f>+#REF!+J11+#REF!+#REF!+#REF!</f>
        <v>#REF!</v>
      </c>
      <c r="K15" s="14" t="e">
        <f>+#REF!+K11+#REF!+#REF!+#REF!</f>
        <v>#REF!</v>
      </c>
      <c r="L15" s="14" t="e">
        <f>+#REF!+L11+#REF!+#REF!+#REF!</f>
        <v>#REF!</v>
      </c>
      <c r="M15" s="14" t="e">
        <f>+#REF!+M11+#REF!+#REF!+#REF!</f>
        <v>#REF!</v>
      </c>
      <c r="N15" s="14" t="e">
        <f>+#REF!+N11+#REF!+#REF!+#REF!</f>
        <v>#REF!</v>
      </c>
      <c r="O15" s="14" t="e">
        <f>+#REF!+O11+#REF!+#REF!+#REF!</f>
        <v>#REF!</v>
      </c>
      <c r="P15" s="14" t="e">
        <f>+#REF!+P11+#REF!+#REF!+#REF!</f>
        <v>#REF!</v>
      </c>
      <c r="Q15" s="15" t="e">
        <f>SUM(D15:P15)</f>
        <v>#REF!</v>
      </c>
    </row>
    <row r="16" spans="1:17" x14ac:dyDescent="0.25">
      <c r="A16" s="21" t="s">
        <v>16</v>
      </c>
      <c r="B16" s="14" t="s">
        <v>17</v>
      </c>
      <c r="C16" s="14">
        <v>7</v>
      </c>
      <c r="D16" s="14" t="e">
        <f>+(D15)*C16</f>
        <v>#REF!</v>
      </c>
      <c r="E16" s="14" t="e">
        <f>+(E15)*C16</f>
        <v>#REF!</v>
      </c>
      <c r="F16" s="14" t="e">
        <f>+(F15)*C16</f>
        <v>#REF!</v>
      </c>
      <c r="G16" s="14" t="e">
        <f>+(G15)*C16</f>
        <v>#REF!</v>
      </c>
      <c r="H16" s="14" t="e">
        <f>+(H15)*C16</f>
        <v>#REF!</v>
      </c>
      <c r="I16" s="14" t="e">
        <f>+(I15)*C16</f>
        <v>#REF!</v>
      </c>
      <c r="J16" s="14" t="e">
        <f>+(J15)*C16</f>
        <v>#REF!</v>
      </c>
      <c r="K16" s="14" t="e">
        <f>+(K15)*C16</f>
        <v>#REF!</v>
      </c>
      <c r="L16" s="14" t="e">
        <f>+(L15)*C16</f>
        <v>#REF!</v>
      </c>
      <c r="M16" s="14" t="e">
        <f>+(M15)*C16</f>
        <v>#REF!</v>
      </c>
      <c r="N16" s="14" t="e">
        <f>+(N15)*C16</f>
        <v>#REF!</v>
      </c>
      <c r="O16" s="14" t="e">
        <f>+(O15)*C16</f>
        <v>#REF!</v>
      </c>
      <c r="P16" s="14" t="e">
        <f>+(P15)*C16</f>
        <v>#REF!</v>
      </c>
      <c r="Q16" s="15" t="e">
        <f>SUM(D16:P16)</f>
        <v>#REF!</v>
      </c>
    </row>
    <row r="17" spans="1:17" x14ac:dyDescent="0.25">
      <c r="A17" s="21" t="s">
        <v>19</v>
      </c>
      <c r="B17" s="14"/>
      <c r="C17" s="14"/>
      <c r="D17" s="14" t="e">
        <f>+D12+#REF!+#REF!+#REF!</f>
        <v>#REF!</v>
      </c>
      <c r="E17" s="14" t="e">
        <f>+E12+#REF!+#REF!+#REF!</f>
        <v>#REF!</v>
      </c>
      <c r="F17" s="14" t="e">
        <f>+F12+#REF!+#REF!+#REF!</f>
        <v>#REF!</v>
      </c>
      <c r="G17" s="14" t="e">
        <f>+G12+#REF!+#REF!+#REF!</f>
        <v>#REF!</v>
      </c>
      <c r="H17" s="14" t="e">
        <f>+H12+#REF!+#REF!+#REF!</f>
        <v>#REF!</v>
      </c>
      <c r="I17" s="14" t="e">
        <f>+I12+#REF!+#REF!+#REF!</f>
        <v>#REF!</v>
      </c>
      <c r="J17" s="14" t="e">
        <f>+J12+#REF!+#REF!+#REF!</f>
        <v>#REF!</v>
      </c>
      <c r="K17" s="14" t="e">
        <f>+K12+#REF!+#REF!+#REF!</f>
        <v>#REF!</v>
      </c>
      <c r="L17" s="14" t="e">
        <f>+L12+#REF!+#REF!+#REF!</f>
        <v>#REF!</v>
      </c>
      <c r="M17" s="14" t="e">
        <f>+M12+#REF!+#REF!+#REF!</f>
        <v>#REF!</v>
      </c>
      <c r="N17" s="14" t="e">
        <f>+N12+#REF!+#REF!+#REF!</f>
        <v>#REF!</v>
      </c>
      <c r="O17" s="14" t="e">
        <f>+O12+#REF!+#REF!+#REF!</f>
        <v>#REF!</v>
      </c>
      <c r="P17" s="14" t="e">
        <f>+P12+#REF!+#REF!+#REF!</f>
        <v>#REF!</v>
      </c>
      <c r="Q17" s="15" t="e">
        <f>SUM(D17:P17)</f>
        <v>#REF!</v>
      </c>
    </row>
    <row r="18" spans="1:17" x14ac:dyDescent="0.25">
      <c r="A18" s="21" t="s">
        <v>20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15" t="e">
        <f>+#REF!</f>
        <v>#REF!</v>
      </c>
    </row>
    <row r="19" spans="1:17" x14ac:dyDescent="0.25">
      <c r="A19" s="21" t="s">
        <v>21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0" t="e">
        <f>SUM(Q17:Q18)</f>
        <v>#REF!</v>
      </c>
    </row>
  </sheetData>
  <mergeCells count="5">
    <mergeCell ref="A9:A10"/>
    <mergeCell ref="B9:B10"/>
    <mergeCell ref="B18:P18"/>
    <mergeCell ref="B19:P19"/>
    <mergeCell ref="A8:P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8EFC-4976-4DCE-AF43-142A621379FD}">
  <dimension ref="A1:R33"/>
  <sheetViews>
    <sheetView workbookViewId="0">
      <selection activeCell="F5" sqref="F5"/>
    </sheetView>
  </sheetViews>
  <sheetFormatPr defaultRowHeight="15" x14ac:dyDescent="0.25"/>
  <cols>
    <col min="1" max="1" width="21.5703125" customWidth="1"/>
    <col min="2" max="2" width="13.140625" bestFit="1" customWidth="1"/>
    <col min="4" max="4" width="9.42578125" bestFit="1" customWidth="1"/>
    <col min="5" max="5" width="9.7109375" bestFit="1" customWidth="1"/>
    <col min="6" max="6" width="14.140625" bestFit="1" customWidth="1"/>
    <col min="7" max="9" width="11" bestFit="1" customWidth="1"/>
    <col min="10" max="10" width="12" bestFit="1" customWidth="1"/>
    <col min="11" max="12" width="13.140625" bestFit="1" customWidth="1"/>
    <col min="18" max="18" width="10.7109375" customWidth="1"/>
  </cols>
  <sheetData>
    <row r="1" spans="1:18" x14ac:dyDescent="0.25">
      <c r="A1" t="s">
        <v>0</v>
      </c>
      <c r="B1" t="s">
        <v>4</v>
      </c>
      <c r="C1" t="s">
        <v>29</v>
      </c>
    </row>
    <row r="2" spans="1:18" x14ac:dyDescent="0.25">
      <c r="A2" t="s">
        <v>1</v>
      </c>
      <c r="B2" t="s">
        <v>4</v>
      </c>
      <c r="C2" s="17" t="s">
        <v>25</v>
      </c>
    </row>
    <row r="3" spans="1:18" x14ac:dyDescent="0.25">
      <c r="A3" t="s">
        <v>2</v>
      </c>
      <c r="B3" t="s">
        <v>4</v>
      </c>
      <c r="C3" t="s">
        <v>26</v>
      </c>
    </row>
    <row r="4" spans="1:18" x14ac:dyDescent="0.25">
      <c r="A4" t="s">
        <v>3</v>
      </c>
      <c r="B4" t="s">
        <v>4</v>
      </c>
      <c r="C4" t="s">
        <v>27</v>
      </c>
    </row>
    <row r="5" spans="1:18" x14ac:dyDescent="0.25">
      <c r="A5" t="s">
        <v>22</v>
      </c>
      <c r="B5" t="s">
        <v>4</v>
      </c>
      <c r="C5" t="s">
        <v>28</v>
      </c>
    </row>
    <row r="7" spans="1:18" x14ac:dyDescent="0.25">
      <c r="A7" s="30" t="s">
        <v>8</v>
      </c>
      <c r="B7" s="30"/>
      <c r="C7" s="30"/>
      <c r="D7" s="32"/>
      <c r="E7" s="32"/>
      <c r="F7" s="32"/>
      <c r="G7" s="32"/>
      <c r="H7" s="32"/>
      <c r="I7" s="32"/>
      <c r="J7" s="32"/>
      <c r="K7" s="32"/>
      <c r="L7" s="32"/>
      <c r="M7" s="30"/>
      <c r="N7" s="30"/>
      <c r="O7" s="30"/>
      <c r="P7" s="30"/>
      <c r="Q7" s="30"/>
      <c r="R7" s="22" t="s">
        <v>10</v>
      </c>
    </row>
    <row r="8" spans="1:18" x14ac:dyDescent="0.25">
      <c r="A8" s="31" t="s">
        <v>5</v>
      </c>
      <c r="B8" s="31" t="s">
        <v>6</v>
      </c>
      <c r="C8" s="3" t="s">
        <v>7</v>
      </c>
      <c r="D8" s="18"/>
      <c r="E8" s="18"/>
      <c r="F8" s="19"/>
      <c r="G8" s="19"/>
      <c r="H8" s="19"/>
      <c r="I8" s="19"/>
      <c r="J8" s="19"/>
      <c r="K8" s="19"/>
      <c r="L8" s="19"/>
      <c r="M8" s="2"/>
      <c r="N8" s="2"/>
      <c r="O8" s="2"/>
      <c r="P8" s="2"/>
      <c r="Q8" s="2"/>
      <c r="R8" s="4"/>
    </row>
    <row r="9" spans="1:18" x14ac:dyDescent="0.25">
      <c r="A9" s="31"/>
      <c r="B9" s="31"/>
      <c r="C9" s="3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>
        <v>1</v>
      </c>
    </row>
    <row r="10" spans="1:18" x14ac:dyDescent="0.25">
      <c r="A10" s="5" t="s">
        <v>30</v>
      </c>
      <c r="B10" s="5" t="s">
        <v>30</v>
      </c>
      <c r="C10" s="6" t="s">
        <v>11</v>
      </c>
      <c r="D10" s="5">
        <f>458*D9</f>
        <v>0</v>
      </c>
      <c r="E10" s="5">
        <f t="shared" ref="E10:Q10" si="0">458*E9</f>
        <v>0</v>
      </c>
      <c r="F10" s="5">
        <f t="shared" si="0"/>
        <v>0</v>
      </c>
      <c r="G10" s="5">
        <f t="shared" si="0"/>
        <v>0</v>
      </c>
      <c r="H10" s="5">
        <f t="shared" si="0"/>
        <v>0</v>
      </c>
      <c r="I10" s="5">
        <f t="shared" si="0"/>
        <v>0</v>
      </c>
      <c r="J10" s="5">
        <f t="shared" si="0"/>
        <v>0</v>
      </c>
      <c r="K10" s="5">
        <f t="shared" si="0"/>
        <v>0</v>
      </c>
      <c r="L10" s="5">
        <f t="shared" si="0"/>
        <v>0</v>
      </c>
      <c r="M10" s="5">
        <f t="shared" si="0"/>
        <v>0</v>
      </c>
      <c r="N10" s="5">
        <f t="shared" si="0"/>
        <v>0</v>
      </c>
      <c r="O10" s="5">
        <f t="shared" si="0"/>
        <v>0</v>
      </c>
      <c r="P10" s="5">
        <f t="shared" si="0"/>
        <v>0</v>
      </c>
      <c r="Q10" s="5">
        <f t="shared" si="0"/>
        <v>0</v>
      </c>
      <c r="R10" s="7">
        <v>0</v>
      </c>
    </row>
    <row r="11" spans="1:18" x14ac:dyDescent="0.25">
      <c r="A11" s="1" t="s">
        <v>13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7">
        <v>1</v>
      </c>
    </row>
    <row r="12" spans="1:18" x14ac:dyDescent="0.25">
      <c r="A12" s="1" t="s">
        <v>12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7">
        <f>+R10/(R9*R11)</f>
        <v>0</v>
      </c>
    </row>
    <row r="14" spans="1:18" x14ac:dyDescent="0.25">
      <c r="A14" s="30" t="s">
        <v>14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22" t="s">
        <v>10</v>
      </c>
    </row>
    <row r="15" spans="1:18" x14ac:dyDescent="0.25">
      <c r="A15" s="31" t="s">
        <v>5</v>
      </c>
      <c r="B15" s="31" t="s">
        <v>6</v>
      </c>
      <c r="C15" s="3" t="s">
        <v>15</v>
      </c>
      <c r="D15" s="3">
        <v>26</v>
      </c>
      <c r="E15" s="3">
        <v>26</v>
      </c>
      <c r="F15" s="3">
        <v>26</v>
      </c>
      <c r="G15" s="3">
        <v>24</v>
      </c>
      <c r="H15" s="3">
        <v>24</v>
      </c>
      <c r="I15" s="3">
        <v>22</v>
      </c>
      <c r="J15" s="3">
        <v>20</v>
      </c>
      <c r="K15" s="3">
        <v>16</v>
      </c>
      <c r="L15" s="3">
        <v>16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4"/>
    </row>
    <row r="16" spans="1:18" x14ac:dyDescent="0.25">
      <c r="A16" s="31"/>
      <c r="B16" s="31"/>
      <c r="C16" s="3" t="s">
        <v>7</v>
      </c>
      <c r="D16" s="3" t="s">
        <v>37</v>
      </c>
      <c r="E16" s="3" t="s">
        <v>38</v>
      </c>
      <c r="F16" s="3" t="s">
        <v>39</v>
      </c>
      <c r="G16" s="3" t="s">
        <v>40</v>
      </c>
      <c r="H16" s="3" t="s">
        <v>41</v>
      </c>
      <c r="I16" s="3" t="s">
        <v>42</v>
      </c>
      <c r="J16" s="3" t="s">
        <v>43</v>
      </c>
      <c r="K16" s="3" t="s">
        <v>44</v>
      </c>
      <c r="L16" s="3" t="s">
        <v>45</v>
      </c>
      <c r="M16" s="2"/>
      <c r="N16" s="2"/>
      <c r="O16" s="2"/>
      <c r="P16" s="2"/>
      <c r="Q16" s="2"/>
      <c r="R16" s="4"/>
    </row>
    <row r="17" spans="1:18" s="11" customFormat="1" x14ac:dyDescent="0.25">
      <c r="A17" s="8" t="s">
        <v>31</v>
      </c>
      <c r="B17" s="8" t="s">
        <v>24</v>
      </c>
      <c r="C17" s="9" t="s">
        <v>11</v>
      </c>
      <c r="D17" s="8">
        <v>65</v>
      </c>
      <c r="E17" s="8">
        <v>170</v>
      </c>
      <c r="F17" s="8">
        <v>220</v>
      </c>
      <c r="G17" s="8">
        <v>385</v>
      </c>
      <c r="H17" s="8">
        <v>285</v>
      </c>
      <c r="I17" s="8">
        <v>220</v>
      </c>
      <c r="J17" s="8">
        <v>130</v>
      </c>
      <c r="K17" s="8">
        <v>90</v>
      </c>
      <c r="L17" s="8">
        <v>60</v>
      </c>
      <c r="M17" s="8">
        <f t="shared" ref="M17:Q17" si="1">0*M16</f>
        <v>0</v>
      </c>
      <c r="N17" s="8">
        <f t="shared" si="1"/>
        <v>0</v>
      </c>
      <c r="O17" s="8">
        <f t="shared" si="1"/>
        <v>0</v>
      </c>
      <c r="P17" s="8">
        <f t="shared" si="1"/>
        <v>0</v>
      </c>
      <c r="Q17" s="8">
        <f t="shared" si="1"/>
        <v>0</v>
      </c>
      <c r="R17" s="10">
        <f>SUM(D17:Q17)</f>
        <v>1625</v>
      </c>
    </row>
    <row r="18" spans="1:18" s="11" customFormat="1" x14ac:dyDescent="0.25">
      <c r="A18" s="12" t="s">
        <v>12</v>
      </c>
      <c r="B18" s="12"/>
      <c r="C18" s="12"/>
      <c r="D18" s="23">
        <f>+D17/D15</f>
        <v>2.5</v>
      </c>
      <c r="E18" s="23">
        <f t="shared" ref="E18:Q18" si="2">+E17/E15</f>
        <v>6.5384615384615383</v>
      </c>
      <c r="F18" s="23">
        <f t="shared" si="2"/>
        <v>8.4615384615384617</v>
      </c>
      <c r="G18" s="23">
        <f t="shared" si="2"/>
        <v>16.041666666666668</v>
      </c>
      <c r="H18" s="23">
        <f t="shared" si="2"/>
        <v>11.875</v>
      </c>
      <c r="I18" s="23">
        <f t="shared" si="2"/>
        <v>10</v>
      </c>
      <c r="J18" s="23">
        <f t="shared" si="2"/>
        <v>6.5</v>
      </c>
      <c r="K18" s="23">
        <f t="shared" si="2"/>
        <v>5.625</v>
      </c>
      <c r="L18" s="23">
        <f t="shared" si="2"/>
        <v>3.75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27">
        <f>SUM(D18:Q18)</f>
        <v>71.291666666666671</v>
      </c>
    </row>
    <row r="19" spans="1:18" ht="8.2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s="11" customFormat="1" x14ac:dyDescent="0.25">
      <c r="A20" s="8" t="s">
        <v>32</v>
      </c>
      <c r="B20" s="8" t="s">
        <v>33</v>
      </c>
      <c r="C20" s="9" t="s">
        <v>11</v>
      </c>
      <c r="D20" s="8">
        <v>6</v>
      </c>
      <c r="E20" s="8">
        <v>15</v>
      </c>
      <c r="F20" s="8">
        <v>19</v>
      </c>
      <c r="G20" s="8">
        <v>77</v>
      </c>
      <c r="H20" s="8">
        <v>85</v>
      </c>
      <c r="I20" s="8">
        <v>62</v>
      </c>
      <c r="J20" s="8">
        <v>40</v>
      </c>
      <c r="K20" s="8">
        <v>15</v>
      </c>
      <c r="L20" s="8">
        <v>5</v>
      </c>
      <c r="M20" s="8">
        <f t="shared" ref="M20:Q20" si="3">0*M19</f>
        <v>0</v>
      </c>
      <c r="N20" s="8">
        <f t="shared" si="3"/>
        <v>0</v>
      </c>
      <c r="O20" s="8">
        <f t="shared" si="3"/>
        <v>0</v>
      </c>
      <c r="P20" s="8">
        <f t="shared" si="3"/>
        <v>0</v>
      </c>
      <c r="Q20" s="8">
        <f t="shared" si="3"/>
        <v>0</v>
      </c>
      <c r="R20" s="10">
        <f>SUM(D20:Q20)</f>
        <v>324</v>
      </c>
    </row>
    <row r="21" spans="1:18" s="11" customFormat="1" x14ac:dyDescent="0.25">
      <c r="A21" s="12" t="s">
        <v>12</v>
      </c>
      <c r="B21" s="12"/>
      <c r="C21" s="12"/>
      <c r="D21" s="23">
        <f>+D20/D15</f>
        <v>0.23076923076923078</v>
      </c>
      <c r="E21" s="23">
        <f t="shared" ref="E21:Q21" si="4">+E20/E15</f>
        <v>0.57692307692307687</v>
      </c>
      <c r="F21" s="23">
        <f t="shared" si="4"/>
        <v>0.73076923076923073</v>
      </c>
      <c r="G21" s="23">
        <f t="shared" si="4"/>
        <v>3.2083333333333335</v>
      </c>
      <c r="H21" s="23">
        <f t="shared" si="4"/>
        <v>3.5416666666666665</v>
      </c>
      <c r="I21" s="23">
        <f t="shared" si="4"/>
        <v>2.8181818181818183</v>
      </c>
      <c r="J21" s="23">
        <f t="shared" si="4"/>
        <v>2</v>
      </c>
      <c r="K21" s="23">
        <f t="shared" si="4"/>
        <v>0.9375</v>
      </c>
      <c r="L21" s="23">
        <f t="shared" si="4"/>
        <v>0.3125</v>
      </c>
      <c r="M21" s="12">
        <f>+M20/M15</f>
        <v>0</v>
      </c>
      <c r="N21" s="12">
        <f t="shared" si="4"/>
        <v>0</v>
      </c>
      <c r="O21" s="12">
        <f t="shared" si="4"/>
        <v>0</v>
      </c>
      <c r="P21" s="12">
        <f t="shared" si="4"/>
        <v>0</v>
      </c>
      <c r="Q21" s="12">
        <f t="shared" si="4"/>
        <v>0</v>
      </c>
      <c r="R21" s="27">
        <f>SUM(D21:Q21)</f>
        <v>14.356643356643357</v>
      </c>
    </row>
    <row r="22" spans="1:18" ht="8.25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s="11" customFormat="1" x14ac:dyDescent="0.25">
      <c r="A23" s="8" t="s">
        <v>34</v>
      </c>
      <c r="B23" s="8" t="s">
        <v>35</v>
      </c>
      <c r="C23" s="9" t="s">
        <v>11</v>
      </c>
      <c r="D23" s="2">
        <v>21</v>
      </c>
      <c r="E23" s="2">
        <v>84</v>
      </c>
      <c r="F23" s="2">
        <v>73</v>
      </c>
      <c r="G23" s="2">
        <v>261</v>
      </c>
      <c r="H23" s="2">
        <v>230</v>
      </c>
      <c r="I23" s="2">
        <v>157</v>
      </c>
      <c r="J23" s="2">
        <v>115</v>
      </c>
      <c r="K23" s="2">
        <v>73</v>
      </c>
      <c r="L23" s="2">
        <v>31</v>
      </c>
      <c r="M23" s="8">
        <f t="shared" ref="M23:Q23" si="5">0*M22</f>
        <v>0</v>
      </c>
      <c r="N23" s="8">
        <f t="shared" si="5"/>
        <v>0</v>
      </c>
      <c r="O23" s="8">
        <f t="shared" si="5"/>
        <v>0</v>
      </c>
      <c r="P23" s="8">
        <f t="shared" si="5"/>
        <v>0</v>
      </c>
      <c r="Q23" s="8">
        <f t="shared" si="5"/>
        <v>0</v>
      </c>
      <c r="R23" s="10">
        <f>SUM(D23:Q23)</f>
        <v>1045</v>
      </c>
    </row>
    <row r="24" spans="1:18" s="11" customFormat="1" x14ac:dyDescent="0.25">
      <c r="A24" s="12" t="s">
        <v>12</v>
      </c>
      <c r="B24" s="12"/>
      <c r="C24" s="12"/>
      <c r="D24" s="23">
        <f>+D23/D15</f>
        <v>0.80769230769230771</v>
      </c>
      <c r="E24" s="23">
        <f t="shared" ref="E24:Q24" si="6">+E23/E15</f>
        <v>3.2307692307692308</v>
      </c>
      <c r="F24" s="23">
        <f t="shared" si="6"/>
        <v>2.8076923076923075</v>
      </c>
      <c r="G24" s="23">
        <f t="shared" si="6"/>
        <v>10.875</v>
      </c>
      <c r="H24" s="23">
        <f t="shared" si="6"/>
        <v>9.5833333333333339</v>
      </c>
      <c r="I24" s="23">
        <f t="shared" si="6"/>
        <v>7.1363636363636367</v>
      </c>
      <c r="J24" s="23">
        <f t="shared" si="6"/>
        <v>5.75</v>
      </c>
      <c r="K24" s="23">
        <f t="shared" si="6"/>
        <v>4.5625</v>
      </c>
      <c r="L24" s="23">
        <f t="shared" si="6"/>
        <v>1.9375</v>
      </c>
      <c r="M24" s="12">
        <f t="shared" si="6"/>
        <v>0</v>
      </c>
      <c r="N24" s="12">
        <f t="shared" si="6"/>
        <v>0</v>
      </c>
      <c r="O24" s="12">
        <f t="shared" si="6"/>
        <v>0</v>
      </c>
      <c r="P24" s="12">
        <f t="shared" si="6"/>
        <v>0</v>
      </c>
      <c r="Q24" s="12">
        <f t="shared" si="6"/>
        <v>0</v>
      </c>
      <c r="R24" s="27">
        <f>SUM(D24:Q24)</f>
        <v>46.690850815850823</v>
      </c>
    </row>
    <row r="25" spans="1:18" ht="8.2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18" s="11" customFormat="1" x14ac:dyDescent="0.25">
      <c r="A26" s="8" t="s">
        <v>34</v>
      </c>
      <c r="B26" s="8" t="s">
        <v>36</v>
      </c>
      <c r="C26" s="9" t="s">
        <v>11</v>
      </c>
      <c r="D26" s="2">
        <v>5</v>
      </c>
      <c r="E26" s="2">
        <v>22</v>
      </c>
      <c r="F26" s="2">
        <v>19</v>
      </c>
      <c r="G26" s="2">
        <v>69</v>
      </c>
      <c r="H26" s="2">
        <v>60</v>
      </c>
      <c r="I26" s="2">
        <v>41</v>
      </c>
      <c r="J26" s="2">
        <v>30</v>
      </c>
      <c r="K26" s="2">
        <v>19</v>
      </c>
      <c r="L26" s="2">
        <v>8</v>
      </c>
      <c r="M26" s="8">
        <f t="shared" ref="M26:Q26" si="7">0*M25</f>
        <v>0</v>
      </c>
      <c r="N26" s="8">
        <f t="shared" si="7"/>
        <v>0</v>
      </c>
      <c r="O26" s="8">
        <f t="shared" si="7"/>
        <v>0</v>
      </c>
      <c r="P26" s="8">
        <f t="shared" si="7"/>
        <v>0</v>
      </c>
      <c r="Q26" s="8">
        <f t="shared" si="7"/>
        <v>0</v>
      </c>
      <c r="R26" s="10">
        <f>SUM(D26:Q26)</f>
        <v>273</v>
      </c>
    </row>
    <row r="27" spans="1:18" s="11" customFormat="1" x14ac:dyDescent="0.25">
      <c r="A27" s="12" t="s">
        <v>12</v>
      </c>
      <c r="B27" s="12"/>
      <c r="C27" s="12"/>
      <c r="D27" s="23">
        <f>+D26/D15</f>
        <v>0.19230769230769232</v>
      </c>
      <c r="E27" s="23">
        <f t="shared" ref="E27:Q27" si="8">+E26/E15</f>
        <v>0.84615384615384615</v>
      </c>
      <c r="F27" s="23">
        <f t="shared" si="8"/>
        <v>0.73076923076923073</v>
      </c>
      <c r="G27" s="23">
        <f t="shared" si="8"/>
        <v>2.875</v>
      </c>
      <c r="H27" s="23">
        <f t="shared" si="8"/>
        <v>2.5</v>
      </c>
      <c r="I27" s="23">
        <f t="shared" si="8"/>
        <v>1.8636363636363635</v>
      </c>
      <c r="J27" s="23">
        <f t="shared" si="8"/>
        <v>1.5</v>
      </c>
      <c r="K27" s="23">
        <f t="shared" si="8"/>
        <v>1.1875</v>
      </c>
      <c r="L27" s="23">
        <f t="shared" si="8"/>
        <v>0.5</v>
      </c>
      <c r="M27" s="12">
        <f t="shared" si="8"/>
        <v>0</v>
      </c>
      <c r="N27" s="12">
        <f t="shared" si="8"/>
        <v>0</v>
      </c>
      <c r="O27" s="12">
        <f t="shared" si="8"/>
        <v>0</v>
      </c>
      <c r="P27" s="12">
        <f t="shared" si="8"/>
        <v>0</v>
      </c>
      <c r="Q27" s="12">
        <f t="shared" si="8"/>
        <v>0</v>
      </c>
      <c r="R27" s="27">
        <f>SUM(D27:Q27)</f>
        <v>12.195367132867133</v>
      </c>
    </row>
    <row r="28" spans="1:18" ht="8.2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 x14ac:dyDescent="0.25">
      <c r="A29" s="21" t="s">
        <v>18</v>
      </c>
      <c r="B29" s="14"/>
      <c r="C29" s="14"/>
      <c r="D29" s="14">
        <f>+D10+D17+D20+D23+D26</f>
        <v>97</v>
      </c>
      <c r="E29" s="14">
        <f t="shared" ref="E29:Q29" si="9">+E10+E17+E20+E23+E26</f>
        <v>291</v>
      </c>
      <c r="F29" s="14">
        <f t="shared" si="9"/>
        <v>331</v>
      </c>
      <c r="G29" s="14">
        <f t="shared" si="9"/>
        <v>792</v>
      </c>
      <c r="H29" s="14">
        <f t="shared" si="9"/>
        <v>660</v>
      </c>
      <c r="I29" s="14">
        <f t="shared" si="9"/>
        <v>480</v>
      </c>
      <c r="J29" s="14">
        <f t="shared" si="9"/>
        <v>315</v>
      </c>
      <c r="K29" s="14">
        <f t="shared" si="9"/>
        <v>197</v>
      </c>
      <c r="L29" s="14">
        <f t="shared" si="9"/>
        <v>104</v>
      </c>
      <c r="M29" s="14">
        <f t="shared" si="9"/>
        <v>0</v>
      </c>
      <c r="N29" s="14">
        <f t="shared" si="9"/>
        <v>0</v>
      </c>
      <c r="O29" s="14">
        <f t="shared" si="9"/>
        <v>0</v>
      </c>
      <c r="P29" s="14">
        <f t="shared" si="9"/>
        <v>0</v>
      </c>
      <c r="Q29" s="14">
        <f t="shared" si="9"/>
        <v>0</v>
      </c>
      <c r="R29" s="15">
        <f>SUM(D29:Q29)</f>
        <v>3267</v>
      </c>
    </row>
    <row r="30" spans="1:18" x14ac:dyDescent="0.25">
      <c r="A30" s="21" t="s">
        <v>16</v>
      </c>
      <c r="B30" s="21" t="s">
        <v>17</v>
      </c>
      <c r="C30" s="16">
        <v>7</v>
      </c>
      <c r="D30" s="14">
        <f>+(D29)*C30</f>
        <v>679</v>
      </c>
      <c r="E30" s="14">
        <f>+(E29)*C30</f>
        <v>2037</v>
      </c>
      <c r="F30" s="14">
        <f>+(F29)*C30</f>
        <v>2317</v>
      </c>
      <c r="G30" s="14">
        <f>+(G29)*C30</f>
        <v>5544</v>
      </c>
      <c r="H30" s="14">
        <f>+(H29)*C30</f>
        <v>4620</v>
      </c>
      <c r="I30" s="14">
        <f>+(I29)*C30</f>
        <v>3360</v>
      </c>
      <c r="J30" s="14">
        <f>+(J29)*C30</f>
        <v>2205</v>
      </c>
      <c r="K30" s="14">
        <f>+(K29)*C30</f>
        <v>1379</v>
      </c>
      <c r="L30" s="14">
        <f>+(L29)*C30</f>
        <v>728</v>
      </c>
      <c r="M30" s="14">
        <f>+(M29)*C30</f>
        <v>0</v>
      </c>
      <c r="N30" s="14">
        <f>+(N29)*C30</f>
        <v>0</v>
      </c>
      <c r="O30" s="14">
        <f>+(O29)*C30</f>
        <v>0</v>
      </c>
      <c r="P30" s="14">
        <f>+(P29)*C30</f>
        <v>0</v>
      </c>
      <c r="Q30" s="14">
        <f>+(Q29)*C30</f>
        <v>0</v>
      </c>
      <c r="R30" s="15">
        <f>SUM(D30:Q30)</f>
        <v>22869</v>
      </c>
    </row>
    <row r="31" spans="1:18" x14ac:dyDescent="0.25">
      <c r="A31" s="21" t="s">
        <v>19</v>
      </c>
      <c r="B31" s="14"/>
      <c r="C31" s="14"/>
      <c r="D31" s="24">
        <f>+D18+D21+D24+D27</f>
        <v>3.7307692307692308</v>
      </c>
      <c r="E31" s="24">
        <f>+E18+E21+E24+E27</f>
        <v>11.192307692307693</v>
      </c>
      <c r="F31" s="24">
        <f>+F18+F21+F24+F27</f>
        <v>12.73076923076923</v>
      </c>
      <c r="G31" s="14">
        <f t="shared" ref="G31:Q31" si="10">+G18+G21+G24+G27</f>
        <v>33</v>
      </c>
      <c r="H31" s="24">
        <f>+H18+H21+H24+H27</f>
        <v>27.5</v>
      </c>
      <c r="I31" s="24">
        <f>+I18+I21+I24+I27</f>
        <v>21.818181818181817</v>
      </c>
      <c r="J31" s="24">
        <f>+J18+J21+J24+J27</f>
        <v>15.75</v>
      </c>
      <c r="K31" s="24">
        <f>+K18+K21+K24+K27</f>
        <v>12.3125</v>
      </c>
      <c r="L31" s="24">
        <f>+L18+L21+L24+L27</f>
        <v>6.5</v>
      </c>
      <c r="M31" s="14">
        <f t="shared" si="10"/>
        <v>0</v>
      </c>
      <c r="N31" s="14">
        <f t="shared" si="10"/>
        <v>0</v>
      </c>
      <c r="O31" s="14">
        <f t="shared" si="10"/>
        <v>0</v>
      </c>
      <c r="P31" s="14">
        <f t="shared" si="10"/>
        <v>0</v>
      </c>
      <c r="Q31" s="14">
        <f t="shared" si="10"/>
        <v>0</v>
      </c>
      <c r="R31" s="25">
        <f>SUM(D31:Q31)</f>
        <v>144.53452797202797</v>
      </c>
    </row>
    <row r="32" spans="1:18" x14ac:dyDescent="0.25">
      <c r="A32" s="21" t="s">
        <v>20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15">
        <f>+R12</f>
        <v>0</v>
      </c>
    </row>
    <row r="33" spans="1:18" x14ac:dyDescent="0.25">
      <c r="A33" s="21" t="s">
        <v>21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6">
        <f>SUM(R31:R32)</f>
        <v>144.53452797202797</v>
      </c>
    </row>
  </sheetData>
  <mergeCells count="10">
    <mergeCell ref="A15:A16"/>
    <mergeCell ref="B15:B16"/>
    <mergeCell ref="B32:Q32"/>
    <mergeCell ref="B33:Q33"/>
    <mergeCell ref="A7:Q7"/>
    <mergeCell ref="A8:A9"/>
    <mergeCell ref="B8:B9"/>
    <mergeCell ref="B11:Q11"/>
    <mergeCell ref="B12:Q12"/>
    <mergeCell ref="A14:Q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George</vt:lpstr>
      <vt:lpstr>Example M&amp;P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Janitha</dc:creator>
  <cp:lastModifiedBy>Thilina Weerasinghe</cp:lastModifiedBy>
  <dcterms:created xsi:type="dcterms:W3CDTF">2015-06-05T18:17:20Z</dcterms:created>
  <dcterms:modified xsi:type="dcterms:W3CDTF">2026-06-22T04:23:06Z</dcterms:modified>
</cp:coreProperties>
</file>